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wnloads\"/>
    </mc:Choice>
  </mc:AlternateContent>
  <xr:revisionPtr revIDLastSave="0" documentId="13_ncr:1_{82F89EBD-D1DF-4778-BFCB-9868DC96A488}" xr6:coauthVersionLast="47" xr6:coauthVersionMax="47" xr10:uidLastSave="{00000000-0000-0000-0000-000000000000}"/>
  <bookViews>
    <workbookView xWindow="-110" yWindow="-110" windowWidth="19420" windowHeight="11500" xr2:uid="{8201BD41-77E3-4C46-938F-2FBF90D57A14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8" i="1"/>
  <c r="B17" i="1"/>
  <c r="B16" i="1"/>
  <c r="B15" i="1"/>
  <c r="B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<sst xmlns="http://schemas.openxmlformats.org/spreadsheetml/2006/main" count="24" uniqueCount="24">
  <si>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</si>
  <si>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</si>
  <si>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</si>
  <si>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</si>
  <si>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</si>
  <si>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</si>
  <si>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</si>
  <si>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</si>
  <si>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</si>
  <si>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</si>
  <si>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</si>
  <si>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</si>
  <si>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</si>
  <si>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</si>
  <si>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</si>
  <si>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</si>
  <si>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</si>
  <si>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</si>
  <si>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STDEV 2.0</t>
  </si>
  <si>
    <t>Standard Deviation</t>
  </si>
  <si>
    <t>Overall average performance is solid across the board. With the mean being 49.4 and the median being 47.5, these numbers showcase that the stores are performing good but not great.</t>
  </si>
  <si>
    <t>Store performance is tightly grouped and not spread out because most of  the numbers are ranging from 43-52. This shows there is consistency within all of the stores except for one.</t>
  </si>
  <si>
    <t xml:space="preserve">The one exception being store H. This store vastly outperfoms all of the other stores. A clear outlier that needs to be studied more because it's very successful. </t>
  </si>
  <si>
    <t>More additional information should be provided from store H, such as, foot traffic, store size, or anything that explains why store H differs from the 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</si>
</sst>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447E-1D90-844A-B41B-EE140D09E603}">
  <dimension ref="A1:B19"/>
  <sheetViews>
    <sheetView tabSelected="1" workbookViewId="0">
      <selection activeCell="B19" sqref="B19"/>
    </sheetView>
  </sheetViews>
  <sheetFormatPr defaultColWidth="11.07421875" defaultRowHeight="15.5"/>
  <cols>
    <col min="1" max="1" width="16.84375" bestFit="1" customWidth="1"/>
    <col min="2" max="2" width="12.3046875" bestFit="1" customWidth="1"/>
    <col min="3" max="3" width="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51</v>
      </c>
    </row>
    <row r="3" spans="1:2">
      <c r="A3" t="s">
        <v>3</v>
      </c>
      <c r="B3">
        <v>44</v>
      </c>
    </row>
    <row r="4" spans="1:2">
      <c r="A4" t="s">
        <v>4</v>
      </c>
      <c r="B4">
        <v>49</v>
      </c>
    </row>
    <row r="5" spans="1:2">
      <c r="A5" t="s">
        <v>5</v>
      </c>
      <c r="B5">
        <v>46</v>
      </c>
    </row>
    <row r="6" spans="1:2">
      <c r="A6" t="s">
        <v>6</v>
      </c>
      <c r="B6">
        <v>52</v>
      </c>
    </row>
    <row r="7" spans="1:2">
      <c r="A7" t="s">
        <v>7</v>
      </c>
      <c r="B7">
        <v>47</v>
      </c>
    </row>
    <row r="8" spans="1:2">
      <c r="A8" t="s">
        <v>8</v>
      </c>
      <c r="B8">
        <v>45</v>
      </c>
    </row>
    <row r="9" spans="1:2">
      <c r="A9" t="s">
        <v>9</v>
      </c>
      <c r="B9">
        <v>72</v>
      </c>
    </row>
    <row r="10" spans="1:2">
      <c r="A10" t="s">
        <v>10</v>
      </c>
      <c r="B10">
        <v>43</v>
      </c>
    </row>
    <row r="11" spans="1:2">
      <c r="A11" t="s">
        <v>11</v>
      </c>
      <c r="B11">
        <v>48</v>
      </c>
    </row>
    <row r="12" spans="1:2">
      <c r="A12" t="s">
        <v>12</v>
      </c>
      <c r="B12">
        <v>46</v>
      </c>
    </row>
    <row r="13" spans="1:2">
      <c r="A13" t="s">
        <v>13</v>
      </c>
      <c r="B13">
        <v>50</v>
      </c>
    </row>
    <row r="14" spans="1:2">
      <c r="A14" t="s">
        <v>14</v>
      </c>
      <c r="B14">
        <f>AVERAGE(B2:B13)</f>
        <v>49.416666666666664</v>
      </c>
    </row>
    <row r="15" spans="1:2">
      <c r="A15" t="s">
        <v>15</v>
      </c>
      <c r="B15">
        <f>MEDIAN(B2:B13)</f>
        <v>47.5</v>
      </c>
    </row>
    <row r="16" spans="1:2">
      <c r="A16" t="s">
        <v>16</v>
      </c>
      <c r="B16">
        <f>_xlfn.MODE.SNGL(B2:B13)</f>
        <v>46</v>
      </c>
    </row>
    <row r="17" spans="1:2">
      <c r="A17" t="s">
        <v>17</v>
      </c>
      <c r="B17">
        <f>MAX(B2:B13)-MIN(B2:B13)</f>
        <v>29</v>
      </c>
    </row>
    <row r="18" spans="1:2">
      <c r="A18" t="s">
        <v>19</v>
      </c>
      <c r="B18">
        <f>_xlfn.STDEV.S(B2:B13)</f>
        <v>7.6331613054586773</v>
      </c>
    </row>
    <row r="19" spans="1:2">
      <c r="A19" t="s">
        <v>18</v>
      </c>
      <c r="B19" cm="1">
        <f t="array" ref="B19">_xlfn.STDEV.S(IF(ROW(B2:B13)&lt;&gt;ROW(B9),B2:B13))</f>
        <v>2.9076701075853588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9C5E-6855-0B48-B7DF-C9BA207C98E0}">
  <dimension ref="A1:A4"/>
  <sheetViews>
    <sheetView zoomScale="70" zoomScaleNormal="70" workbookViewId="0">
      <selection activeCell="A3" sqref="A3"/>
    </sheetView>
  </sheetViews>
  <sheetFormatPr defaultColWidth="11.07421875" defaultRowHeight="15.5"/>
  <cols>
    <col min="1" max="1" width="156.69140625" bestFit="1" customWidth="1"/>
  </cols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osorio</dc:creator>
  <cp:lastModifiedBy>angel osorio</cp:lastModifiedBy>
  <dcterms:created xsi:type="dcterms:W3CDTF">2026-03-26T21:06:58Z</dcterms:created>
  <dcterms:modified xsi:type="dcterms:W3CDTF">2026-03-27T03:54:10Z</dcterms:modified>
</cp:coreProperties>
</file>